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defaultThemeVersion="166925"/>
  <mc:AlternateContent xmlns:mc="http://schemas.openxmlformats.org/markup-compatibility/2006">
    <mc:Choice Requires="x15">
      <x15ac:absPath xmlns:x15ac="http://schemas.microsoft.com/office/spreadsheetml/2010/11/ac" url="/Users/jsc/Documents/aaJ Clark MACBOOK 2025 PUM/9991 SUBMITTED R3/"/>
    </mc:Choice>
  </mc:AlternateContent>
  <xr:revisionPtr revIDLastSave="0" documentId="13_ncr:1_{C5CF0727-AB39-4949-823A-FEF41314E443}" xr6:coauthVersionLast="47" xr6:coauthVersionMax="47" xr10:uidLastSave="{00000000-0000-0000-0000-000000000000}"/>
  <bookViews>
    <workbookView xWindow="40" yWindow="620" windowWidth="28760" windowHeight="15800" tabRatio="500" xr2:uid="{00000000-000D-0000-FFFF-FFFF00000000}"/>
  </bookViews>
  <sheets>
    <sheet name="Arkusz1" sheetId="1" r:id="rId1"/>
    <sheet name="Arkusz2" sheetId="2" r:id="rId2"/>
  </sheets>
  <definedNames>
    <definedName name="baut0005" localSheetId="0">Arkusz1!#REF!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K32" i="1" l="1"/>
  <c r="J32" i="1"/>
</calcChain>
</file>

<file path=xl/sharedStrings.xml><?xml version="1.0" encoding="utf-8"?>
<sst xmlns="http://schemas.openxmlformats.org/spreadsheetml/2006/main" count="165" uniqueCount="146">
  <si>
    <t xml:space="preserve">Supplemental Table S1: EXAMPLES - PHYSICS 2017-2021     </t>
  </si>
  <si>
    <r>
      <rPr>
        <b/>
        <sz val="12"/>
        <color rgb="FF000000"/>
        <rFont val="Times New Roman"/>
        <family val="1"/>
        <charset val="1"/>
      </rPr>
      <t xml:space="preserve">Title of article: </t>
    </r>
    <r>
      <rPr>
        <sz val="12"/>
        <color rgb="FF000000"/>
        <rFont val="Times New Roman"/>
        <family val="1"/>
        <charset val="238"/>
      </rPr>
      <t xml:space="preserve">Triplication: an important component of the modern scientific method.
</t>
    </r>
    <r>
      <rPr>
        <b/>
        <sz val="12"/>
        <color rgb="FF000000"/>
        <rFont val="Times New Roman"/>
        <family val="1"/>
        <charset val="1"/>
      </rPr>
      <t xml:space="preserve">Authors: </t>
    </r>
    <r>
      <rPr>
        <sz val="12"/>
        <color rgb="FF000000"/>
        <rFont val="Times New Roman"/>
        <family val="1"/>
        <charset val="238"/>
      </rPr>
      <t xml:space="preserve"> Jeremy S.C. Clark, Karina Szczypiór-Piasecka, Kamila Rydzewska, Konrad Podsiadło.</t>
    </r>
  </si>
  <si>
    <t>Values below are very rough representations calculated from results presented in column to the left.</t>
  </si>
  <si>
    <t>No.</t>
  </si>
  <si>
    <t xml:space="preserve">ARTICLES (included) </t>
  </si>
  <si>
    <t>Physics subdiscipline</t>
  </si>
  <si>
    <t>Result mentioned with systematic error</t>
  </si>
  <si>
    <t>Random error: order of magnitude</t>
  </si>
  <si>
    <t>Systematic error: order of magnitude</t>
  </si>
  <si>
    <t>Is order of magnitude of systematic error the same or higher than of random error ?   1 = yes, 0 = no</t>
  </si>
  <si>
    <t>Valcin D, Bernal JL, Jimenez R, Verde L, Wandelt BD. Inferring the Age of the Universe with Globular Clusters. JCAP. 2020;12:002.</t>
  </si>
  <si>
    <t>Cosmology</t>
  </si>
  <si>
    <t>Touboul P, Metris G, Rodrigues M, Andre Y, Baghi Q, Berge J, Boulanger D, Bremer S, Carle P, Chhun R et al.. MICROSCOPE Mission: First Results of a Space Test of the Equivalence Principle. Phys Rev Lett. 2017;119:231101.</t>
  </si>
  <si>
    <t>Experimental gravitation</t>
  </si>
  <si>
    <r>
      <rPr>
        <b/>
        <sz val="16"/>
        <color rgb="FF000000"/>
        <rFont val="Times New Roman"/>
        <family val="1"/>
        <charset val="238"/>
      </rPr>
      <t xml:space="preserve">Abstract: </t>
    </r>
    <r>
      <rPr>
        <sz val="16"/>
        <color rgb="FF000000"/>
        <rFont val="Times New Roman"/>
        <family val="1"/>
        <charset val="238"/>
      </rPr>
      <t>"δ(Ti,Pt) = [−1 ± 9 (stat) ± 9 (syst)] × 10^−15 (1σ statistical uncertainty)"</t>
    </r>
  </si>
  <si>
    <t>9 × 10^−15</t>
  </si>
  <si>
    <t>Kobayashi J, Ogino A, Inouye S. Measurement of the variation of electron-to-proton mass ratio using ultracold molecules produced from laser-cooled atoms. Nature Communications. 2019;10:3771.</t>
  </si>
  <si>
    <t>BESIII C, Evelina G. Cross section measurements of e + e − → ω χ c 0 from √ s = 4.178 to 4.278 GeV. Phys Rev D. 2019;99:091103.</t>
  </si>
  <si>
    <t>1.6</t>
  </si>
  <si>
    <t>Abbasi RU, Abe M, Abu-Zayyad T, Allen M, Azuma R, Barcikowski E, Belz JW, Bergman DR, Blake SA, Cady R et al.. Mass composition of ultrahigh-energy cosmic rays with the Telescope Array Surface Detector data. Phys Rev D. 2019;99:022002.</t>
  </si>
  <si>
    <r>
      <rPr>
        <b/>
        <sz val="16"/>
        <color rgb="FF000000"/>
        <rFont val="Times New Roman"/>
        <family val="1"/>
        <charset val="238"/>
      </rPr>
      <t xml:space="preserve">Abstract: </t>
    </r>
    <r>
      <rPr>
        <sz val="16"/>
        <color rgb="FF000000"/>
        <rFont val="Times New Roman"/>
        <family val="1"/>
        <charset val="238"/>
      </rPr>
      <t>"The average atomic mass of primary particles shows no significant energy dependence and corresponds to ⟨lnA⟩=2.0±0.1(stat.)±0.44(syst.)."</t>
    </r>
  </si>
  <si>
    <t>0.1</t>
  </si>
  <si>
    <t>0.44</t>
  </si>
  <si>
    <t>Bak G, Choi JH, Jang HI, Jang JS, Jeon SH, Joo KK, Ju K, Jung DE, Kim JG, Kim JH et al.. Measurement of Reactor Antineutrino Oscillation Amplitude and Frequency at RENO. Phys Rev Lett. 2018;121:201801.</t>
  </si>
  <si>
    <t>0.0048</t>
  </si>
  <si>
    <t>0.0047</t>
  </si>
  <si>
    <t>Asenbaum P, Overstreet C, Kim M, Curti J, Kasevich MA. Atom-Interferometric Test of the Equivalence Principle at the 10exp-12 Level. Phys Rev Lett. 2020;125:191101.</t>
  </si>
  <si>
    <t>1.8 × 10^−12</t>
  </si>
  <si>
    <t>3.4 × 10^−12</t>
  </si>
  <si>
    <t>Karukes EV, Benito M, Iocco F, Trotta R, Geringer-Sameth A. A robust estimate of the Milky Way mass from rotation curve data. Journal of Cosmology and Astroparticle Physics. 2020;2020:033-033.</t>
  </si>
  <si>
    <t>The LHCC, Xu, Q. N., Adachi, I., Aihara, H., Al Said, S., Asner, D. M., Atmacan, H, Aulchenko, V., Aushev, T., Ayad, R. Measurement of ηc (1S), ηc (2S), and nonresonant η′π+π- production via two-photon collisions. Physical Review D. 2018;98</t>
  </si>
  <si>
    <t>Precision spectroscopy</t>
  </si>
  <si>
    <t>Experimental astroparticle physics</t>
  </si>
  <si>
    <t>Experimental neutrino physics</t>
  </si>
  <si>
    <t>Ratio (syst/stats) to 2 significant figures</t>
  </si>
  <si>
    <t>Astrophysics</t>
  </si>
  <si>
    <r>
      <t xml:space="preserve">Abstract: </t>
    </r>
    <r>
      <rPr>
        <sz val="16"/>
        <color rgb="FF000000"/>
        <rFont val="Times New Roman"/>
        <family val="1"/>
        <charset val="1"/>
      </rPr>
      <t>"log(10)M(200DM)/ M⊙ = 11.92(+0.06−0.05; stat) (±0.28±0.27; syst)"</t>
    </r>
    <r>
      <rPr>
        <b/>
        <sz val="16"/>
        <color rgb="FF000000"/>
        <rFont val="Times New Roman"/>
        <family val="1"/>
        <charset val="238"/>
      </rPr>
      <t xml:space="preserve"> </t>
    </r>
    <r>
      <rPr>
        <sz val="16"/>
        <color rgb="FF000000"/>
        <rFont val="Times New Roman"/>
        <family val="1"/>
        <charset val="238"/>
      </rPr>
      <t>two systematic uncertainties to be combined assuming independence</t>
    </r>
  </si>
  <si>
    <t>Systematic error (root mean square)</t>
  </si>
  <si>
    <t>Random error: root-mean-square (rms)</t>
  </si>
  <si>
    <t>Experimental particle physics</t>
  </si>
  <si>
    <t>rms of 0.28 and 0.27 = 0.39</t>
  </si>
  <si>
    <t>Abel C, Afach S, Ayres NJ, Ban G, Bison G, Bodek K, Burghoff M, Chanel E, Chiu S, Daum M et al. Measurement of the permanent electric dipole moment of the neutron. Physical Review Letters. 2020;124:081803.</t>
  </si>
  <si>
    <t>Articles or abstracts were searched in October 2021 in Google Scholar for terms: "physics" and "syst." and "systematic error".                    Order of magnitude defined as floor(log10 𝑥)</t>
  </si>
  <si>
    <t>0.98</t>
  </si>
  <si>
    <t>4.4</t>
  </si>
  <si>
    <t>2.5</t>
  </si>
  <si>
    <t>0.16</t>
  </si>
  <si>
    <t>1.5</t>
  </si>
  <si>
    <t>1.9</t>
  </si>
  <si>
    <t>3.2</t>
  </si>
  <si>
    <t>0.18</t>
  </si>
  <si>
    <t>Is order of magnitude of systematic error the same as for random error ?   1 = yes, 0 = no</t>
  </si>
  <si>
    <t>7.1</t>
  </si>
  <si>
    <t>Xiong W, Gasparian A, Gao H, Dutta D, Khandaker M, Liyanage N, Pasyuk E, Peng C, Bai X, Ye L et al. A small proton charge radius from an electron-proton scattering experiment. Nature. 2019;575:147-151.</t>
  </si>
  <si>
    <t>Experimental nuclear physics</t>
  </si>
  <si>
    <t>0.007 fm</t>
  </si>
  <si>
    <t>0.012 fm</t>
  </si>
  <si>
    <t>1.7</t>
  </si>
  <si>
    <t>Alduino C, Alfonso K, Artusa DR, Avignone FT, Azzolini O, Banks TI, Bari G, Beeman JW, Bellini F, Bersani A et al. (CUORE-0 Collaboration). Measurement of the two-neutrino double-beta decay half-life of 130Te with the CUORE-0 experiment. Eur Phys J C. 2017;77:13.</t>
  </si>
  <si>
    <t>0.2 × 10^20 yr</t>
  </si>
  <si>
    <t>0.6 × 10^20 yr</t>
  </si>
  <si>
    <t>3.0</t>
  </si>
  <si>
    <r>
      <t>Abstract: "</t>
    </r>
    <r>
      <rPr>
        <sz val="16"/>
        <color rgb="FF000000"/>
        <rFont val="Calibri"/>
        <family val="2"/>
        <charset val="238"/>
      </rPr>
      <t>age of the Universe    t_ U = 13.5</t>
    </r>
    <r>
      <rPr>
        <vertAlign val="superscript"/>
        <sz val="16"/>
        <color rgb="FF000000"/>
        <rFont val="Calibri"/>
        <family val="2"/>
        <charset val="238"/>
      </rPr>
      <t>+0.16</t>
    </r>
    <r>
      <rPr>
        <vertAlign val="subscript"/>
        <sz val="16"/>
        <color rgb="FF000000"/>
        <rFont val="Calibri"/>
        <family val="2"/>
        <charset val="238"/>
      </rPr>
      <t>-0.14</t>
    </r>
    <r>
      <rPr>
        <sz val="16"/>
        <color rgb="FF000000"/>
        <rFont val="Calibri"/>
        <family val="2"/>
        <charset val="238"/>
      </rPr>
      <t> (stat.) ± 0.23(0.33) ( sys.) [Gyr] at 68% confidence level" (0.23 is the systematic error; 0.33 is a more conservative estimate of systematic error.)</t>
    </r>
  </si>
  <si>
    <t>asymmetric, rms = 0.15 Gyr</t>
  </si>
  <si>
    <t>taking the non-conservative estimate: 0.23 Gyr</t>
  </si>
  <si>
    <t>1.47 × 10^−10 year^-1</t>
  </si>
  <si>
    <t>2.4 × 10^−11 year^-1</t>
  </si>
  <si>
    <r>
      <t xml:space="preserve">Abstract: </t>
    </r>
    <r>
      <rPr>
        <sz val="16"/>
        <color rgb="FF000000"/>
        <rFont val="Times New Roman"/>
        <family val="1"/>
        <charset val="238"/>
      </rPr>
      <t>"mass of (4218.5 ± 1.6(stat.) ± 4.0(syst.)) MeV/c^2"</t>
    </r>
  </si>
  <si>
    <t>1.6 MeV/c^2</t>
  </si>
  <si>
    <t>4 MeV/c^2</t>
  </si>
  <si>
    <r>
      <t xml:space="preserve">Abstract: </t>
    </r>
    <r>
      <rPr>
        <sz val="16"/>
        <color rgb="FF000000"/>
        <rFont val="Times New Roman"/>
        <family val="1"/>
        <charset val="238"/>
      </rPr>
      <t>"sin^2(2θ)13 = 0.0896 _x005F_x0002_+_ 0.0048stat +_ 0.0047syst eV^2</t>
    </r>
    <r>
      <rPr>
        <b/>
        <sz val="16"/>
        <color rgb="FF000000"/>
        <rFont val="Times New Roman"/>
        <family val="1"/>
        <charset val="238"/>
      </rPr>
      <t>"</t>
    </r>
  </si>
  <si>
    <r>
      <t xml:space="preserve">Abstract: </t>
    </r>
    <r>
      <rPr>
        <sz val="16"/>
        <color rgb="FF000000"/>
        <rFont val="Times New Roman"/>
        <family val="1"/>
        <charset val="238"/>
      </rPr>
      <t>"η = [1.6 ± 1.8(stat) ± 3.4(syst)] × 10^−12"</t>
    </r>
  </si>
  <si>
    <t>0.7 MeV/c^2</t>
  </si>
  <si>
    <t>rms of 2.2 and 0.3 = 2.2 MeV/c^2</t>
  </si>
  <si>
    <t>1.1 × 10^−26 e.cm</t>
  </si>
  <si>
    <t>0.2 × 10^−26 e.cm</t>
  </si>
  <si>
    <t>Anderson MR, Andringa S, Asahi S, Askins M, Auty DJ, Backer N, Barnard Z, Barros N, Bartlett D, Barton E et al. (SNO+ Collaboration). Measurement of the ⁸B solar neutrino flux in SNO+ with very low backgrounds. Phys Rev D. 2019;99:012012.</t>
  </si>
  <si>
    <t>0.39</t>
  </si>
  <si>
    <t>asymmetric, rms = 0.30 × 10⁶ cm⁻²s⁻¹</t>
  </si>
  <si>
    <t>rms of 0.13 and 0.10 = 0.12 × 10⁶ cm⁻²s⁻¹</t>
  </si>
  <si>
    <t>Parker RH, Yu C, Zhong W, Estey B, Müller H. Measurement of the fine-structure constant as a test of the Standard Model. Science. 2018;360:191-195.</t>
  </si>
  <si>
    <t>0.75</t>
  </si>
  <si>
    <t>Atomic physics</t>
  </si>
  <si>
    <t>0.16 × 10⁻⁹  ×  137.04 = 2.19 × 10^-8</t>
  </si>
  <si>
    <t>0.12 × 10⁻⁹  ×  137.04 = 1.64 × 10^-8</t>
  </si>
  <si>
    <t>Bezginov N, Valdez T, Horbatsch M, Marsman A, Vutha AC, Hessels EA. A measurement of the atomic hydrogen Lamb shift and the proton charge radius. Science. 2019;365:1007-1012.</t>
  </si>
  <si>
    <t>1.4 kHz</t>
  </si>
  <si>
    <t>combined rms of 2.3, 1.0, and 1.5 kHz = 2.92 kHz</t>
  </si>
  <si>
    <t>2.1</t>
  </si>
  <si>
    <t>Gonzalez FM, Fries EM, Cude-Woods C, Bailey T, Blatnik M, Broussard LJ, Callahan NB, Choi JH, Clayton SM, Currie SA et al. (UCNτ Collaboration). Improved Neutron Lifetime Measurement with UCNτ. Phys Rev Lett. 2021;127:162501.</t>
  </si>
  <si>
    <t>0.28 s</t>
  </si>
  <si>
    <t>asymmetric, rms of +0.22 and −0.16 = 0.19 s</t>
  </si>
  <si>
    <t>0.69</t>
  </si>
  <si>
    <t>Morel L, Yao Z, Cladé P, Guellati-Khélifa S. Determination of the fine-structure constant with an accuracy of 81 parts per trillion. Nature. 2020;588:61-65.</t>
  </si>
  <si>
    <t>2.8</t>
  </si>
  <si>
    <t xml:space="preserve">2.4 × 10⁻¹¹ </t>
  </si>
  <si>
    <t xml:space="preserve">6.8 × 10⁻¹¹ </t>
  </si>
  <si>
    <t>Freedman WL. Measurements of the Hubble Constant: Tensions in Perspective. Astrophys J. 2021;919:16.</t>
  </si>
  <si>
    <t>0.6 km s⁻¹ Mpc⁻¹</t>
  </si>
  <si>
    <t>1.6 km s⁻¹ Mpc⁻¹</t>
  </si>
  <si>
    <t>2.7</t>
  </si>
  <si>
    <t>Galbany L, de Jaeger T, Contreras C, González-Gaitán S, Hsiao EY, Phillips MM, Burns CR, Hoeflich P, Ashall C, Baron E et al. An updated measurement of the Hubble constant from near-infrared observations of Type Ia supernovae. Astron Astrophys. 2023;679:A95.</t>
  </si>
  <si>
    <t>1.4 km s⁻¹ Mpc⁻¹</t>
  </si>
  <si>
    <t>1.0</t>
  </si>
  <si>
    <t>Khetan N, Izzo L, Branchesi M, Wojtak R, Cantiello M, Murugeshan C, Agnello A, Cappellaro E, Della Valle M, Gall C, Hjorth J, Benetti S, Brocato E, Burke J, Hiramatsu D, Howell DA, Tomasella L, Valenti S. A new measurement of the Hubble constant using Type Ia supernovae calibrated with surface brightness fluctuations. Astron Astrophys. 2021;647:A72.</t>
  </si>
  <si>
    <t>2.37 km s⁻¹ Mpc⁻¹</t>
  </si>
  <si>
    <t>3.38 km s⁻¹ Mpc⁻¹</t>
  </si>
  <si>
    <t>1.4</t>
  </si>
  <si>
    <t>Agostini M, Altenmüller K, Appel S, Atroshchenko V, Bagdasarian Z, Basilico D, Bellini G, Benziger J, Bick D et al. (Borexino Collaboration). Improved measurement of ⁸B solar neutrinos with 1.5 kt·y of Borexino exposure. Phys Rev D. 2020;101:062001.</t>
  </si>
  <si>
    <t>0.07 × 10⁶ cm⁻² s⁻¹</t>
  </si>
  <si>
    <t>0.40</t>
  </si>
  <si>
    <t>Aharonian F, Ait Benkhali F, Aschersleben J, Ashkar H, Backes M, Barbosa Martins V, Batzofin R, Becherini Y, Berge D, Bernlöhr K et al. (H.E.S.S. Collaboration). High-Statistics Measurement of the Cosmic-Ray Electron Spectrum with H.E.S.S. Phys Rev Lett. 2024;133:221001.</t>
  </si>
  <si>
    <t>0.02</t>
  </si>
  <si>
    <t>0.2</t>
  </si>
  <si>
    <t>10</t>
  </si>
  <si>
    <t>Aad G, Abbott B, Abeling K, Abicht NJ, Abidi SH, Aboulhorma A et al. (ATLAS Collaboration). Combined measurement of the Higgs boson mass from the H → γγ and H → ZZ* → 4ℓ channels with the ATLAS detector using √s = 7, 8, and 13 TeV pp collision data. Phys Rev Lett. 2023;131:251802.</t>
  </si>
  <si>
    <t>0.09 GeV</t>
  </si>
  <si>
    <t>0.06 GeV</t>
  </si>
  <si>
    <t>0.67</t>
  </si>
  <si>
    <t>Manovitz T, Shapira Y, Akerman N, Stern A, Ozeri R. Precision Measurement of Atomic Isotope Shifts Using a Two-Isotope Entangled State. Phys Rev Lett. 2019;123:203001.</t>
  </si>
  <si>
    <t>5 Hz</t>
  </si>
  <si>
    <t>8 Hz</t>
  </si>
  <si>
    <t>Adams DQ, Alduino C, Alfonso K, Avignone FT, Azzolini O, Bari G et al. (CUORE Collaboration). Measurement of the 2νββ Decay Half-Life of ¹³⁰Te with CUORE. Phys Rev Lett. 2021;126:171801.</t>
  </si>
  <si>
    <t>rms = 0.07 × 10²⁰ yr</t>
  </si>
  <si>
    <t>rms = 0.14 × 10²⁰ yr</t>
  </si>
  <si>
    <t>rms = 0.18 × 10⁶ cm⁻² s⁻¹</t>
  </si>
  <si>
    <r>
      <t xml:space="preserve">Abstract: </t>
    </r>
    <r>
      <rPr>
        <sz val="16"/>
        <color rgb="FF000000"/>
        <rFont val="Times New Roman"/>
        <family val="1"/>
        <charset val="238"/>
      </rPr>
      <t>"M=[2984.6±0.7 (stat)±2.2 (syst)±0.3 (model)] MeV/c^2"</t>
    </r>
  </si>
  <si>
    <r>
      <t>Results:</t>
    </r>
    <r>
      <rPr>
        <sz val="16"/>
        <color rgb="FF000000"/>
        <rFont val="Arial"/>
        <family val="2"/>
        <charset val="1"/>
      </rPr>
      <t xml:space="preserve"> </t>
    </r>
    <r>
      <rPr>
        <sz val="16"/>
        <color rgb="FF000000"/>
        <rFont val="Arial"/>
        <family val="2"/>
        <charset val="238"/>
      </rPr>
      <t>"temporal variation of f as: (1/f)(df/dt) = (-0.44 ± 1.47stat ± 0.24syst) x 10^-10 year^-1"</t>
    </r>
  </si>
  <si>
    <t>rms = 0.06</t>
  </si>
  <si>
    <r>
      <t xml:space="preserve">Abstract: </t>
    </r>
    <r>
      <rPr>
        <sz val="16"/>
        <color rgb="FF000000"/>
        <rFont val="Times New Roman"/>
        <family val="1"/>
      </rPr>
      <t>"</t>
    </r>
    <r>
      <rPr>
        <i/>
        <sz val="12"/>
        <color rgb="FF000000"/>
        <rFont val="Times New Roman"/>
        <family val="1"/>
      </rPr>
      <t xml:space="preserve">dn </t>
    </r>
    <r>
      <rPr>
        <sz val="12"/>
        <color rgb="FF000000"/>
        <rFont val="Times New Roman"/>
        <family val="1"/>
      </rPr>
      <t>= (0.0±1.1stat±0.2sys)×10−26  </t>
    </r>
    <r>
      <rPr>
        <i/>
        <sz val="12"/>
        <color rgb="FF000000"/>
        <rFont val="Times New Roman"/>
        <family val="1"/>
      </rPr>
      <t>e</t>
    </r>
    <r>
      <rPr>
        <sz val="12"/>
        <color rgb="FF000000"/>
        <rFont val="Times New Roman"/>
        <family val="1"/>
      </rPr>
      <t>.cm"</t>
    </r>
  </si>
  <si>
    <r>
      <t xml:space="preserve">Abstract: </t>
    </r>
    <r>
      <rPr>
        <sz val="16"/>
        <color rgb="FF000000"/>
        <rFont val="Times New Roman"/>
        <family val="1"/>
      </rPr>
      <t>"rp = 0.831 ± 0.007stat ± 0.012syst femtometres"</t>
    </r>
  </si>
  <si>
    <r>
      <t xml:space="preserve">Abstract: </t>
    </r>
    <r>
      <rPr>
        <sz val="16"/>
        <color rgb="FF000000"/>
        <rFont val="Times New Roman"/>
        <family val="1"/>
      </rPr>
      <t>"the half-life is determined to be T_(1/2)^(2ν) = [8.2 ± 0.2 (stat.) ± 0.6 (syst.)] × 10^20 year"</t>
    </r>
  </si>
  <si>
    <r>
      <t xml:space="preserve">Abstract: </t>
    </r>
    <r>
      <rPr>
        <sz val="16"/>
        <color rgb="FF000000"/>
        <rFont val="Times New Roman"/>
        <family val="1"/>
      </rPr>
      <t>"an observed flux of 2.53 +0.31−0.28(stat.) +0.13−0.10(syst.) ×10⁶ cm⁻²s⁻¹, assuming no neutrino oscillations"</t>
    </r>
  </si>
  <si>
    <r>
      <t xml:space="preserve">Main text: </t>
    </r>
    <r>
      <rPr>
        <sz val="16"/>
        <color rgb="FF000000"/>
        <rFont val="Times New Roman"/>
        <family val="1"/>
      </rPr>
      <t>"α⁻¹ = 137.035999046(27) with a statistical uncertainty of 0.16 ppb and a systematic uncertainty of 0.12 ppb (0.20 ppb total)."</t>
    </r>
  </si>
  <si>
    <r>
      <t xml:space="preserve">Main text: </t>
    </r>
    <r>
      <rPr>
        <sz val="16"/>
        <color rgb="FF000000"/>
        <rFont val="Times New Roman"/>
        <family val="1"/>
      </rPr>
      <t>"the uncertainty of 3.2 kHz comes from a combination of a 1.4-kHz statistical uncertainty, a 2.3-kHz uncertainty in the ac Stark shift, a 1.0-kHz uncertainty in the time-dilation correction, and a 1.5-kHz phase measurement uncertainty" for a f (avg 0) = 909.8717(32) MHz.</t>
    </r>
  </si>
  <si>
    <r>
      <t xml:space="preserve">Abstract: </t>
    </r>
    <r>
      <rPr>
        <sz val="16"/>
        <color rgb="FF000000"/>
        <rFont val="Times New Roman"/>
        <family val="1"/>
      </rPr>
      <t>"τn = 877.75 ± 0.28(stat) +0.22/−0.16(syst) s"</t>
    </r>
  </si>
  <si>
    <r>
      <t xml:space="preserve">Main text: </t>
    </r>
    <r>
      <rPr>
        <sz val="16"/>
        <color rgb="FF000000"/>
        <rFont val="Times New Roman"/>
        <family val="1"/>
      </rPr>
      <t>"The contribution of the uncertainty from the ratio h/m(87Rb) is 2.4 × 10^⁻¹¹ (statistical) and 6.8 × 10^⁻¹¹ (systematic)" for α⁻¹ = 137.035999206(11).</t>
    </r>
  </si>
  <si>
    <r>
      <t xml:space="preserve">Abstract: </t>
    </r>
    <r>
      <rPr>
        <sz val="16"/>
        <color rgb="FF000000"/>
        <rFont val="Times New Roman"/>
        <family val="1"/>
      </rPr>
      <t>"H0 = 69.8 ± 0.6 (stat) ± 1.6 (sys) km s⁻¹ Mpc⁻¹"</t>
    </r>
  </si>
  <si>
    <r>
      <t>Abstract:</t>
    </r>
    <r>
      <rPr>
        <sz val="16"/>
        <color rgb="FF000000"/>
        <rFont val="Times New Roman"/>
        <family val="1"/>
      </rPr>
      <t xml:space="preserve"> "H0 is 72.3 ± 1.4 (stat) ±1.4 (syst) km s⁻¹ Mpc⁻¹ in the J-band"</t>
    </r>
  </si>
  <si>
    <r>
      <t xml:space="preserve">Abstract: </t>
    </r>
    <r>
      <rPr>
        <sz val="16"/>
        <color rgb="FF000000"/>
        <rFont val="Times New Roman"/>
        <family val="1"/>
      </rPr>
      <t>"H0 = 70.50 ± 2.37 (stat.) ± 3.38 (sys.) km s⁻¹ Mpc⁻¹"</t>
    </r>
  </si>
  <si>
    <r>
      <t xml:space="preserve">Abstract: </t>
    </r>
    <r>
      <rPr>
        <sz val="16"/>
        <color rgb="FF000000"/>
        <rFont val="Times New Roman"/>
        <family val="1"/>
      </rPr>
      <t>"Φ(⁸B) = 2.57 +0.17/−0.18 (stat) ± 0.07 (syst) × 10⁶ cm⁻² s⁻¹"</t>
    </r>
  </si>
  <si>
    <r>
      <t xml:space="preserve">Abstract: </t>
    </r>
    <r>
      <rPr>
        <sz val="16"/>
        <color rgb="FF000000"/>
        <rFont val="Times New Roman"/>
        <family val="1"/>
      </rPr>
      <t>"the spectral index increases from Γ₁ = 3.25 ± 0.02 (stat) ± 0.2 (sys)"</t>
    </r>
  </si>
  <si>
    <r>
      <t xml:space="preserve">Abstract: </t>
    </r>
    <r>
      <rPr>
        <sz val="16"/>
        <color rgb="FF000000"/>
        <rFont val="Times New Roman"/>
        <family val="1"/>
      </rPr>
      <t>"Higgs boson mass of 125.11 
±  0.09 (stat.) ± 0.06 (syst.) = 125.11 
± 0.11 GeV"</t>
    </r>
  </si>
  <si>
    <r>
      <t xml:space="preserve">Abstract: </t>
    </r>
    <r>
      <rPr>
        <sz val="16"/>
        <color rgb="FF000000"/>
        <rFont val="Times New Roman"/>
        <family val="1"/>
      </rPr>
      <t>"IS of the 5 S1 /2↔4 D5 /2 transition between 86Sr+ and 88Sr+ with a 1.6 ×10^-11 relative uncertainty to be 570 264 063.435(5)(8) (statistical)(systematic) Hz"</t>
    </r>
  </si>
  <si>
    <r>
      <t xml:space="preserve">Abstract: </t>
    </r>
    <r>
      <rPr>
        <sz val="16"/>
        <color rgb="FF000000"/>
        <rFont val="Times New Roman"/>
        <family val="1"/>
      </rPr>
      <t>"T(2ν,1/2) = 7.71 +0.08/−0.06 (stat.) +0.12/−0.15 (syst.) × 10^²⁰ yr"</t>
    </r>
  </si>
  <si>
    <t xml:space="preserve">sum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</si>
</sst>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rgb="FF000000"/>
      <name val="Arial"/>
      <family val="2"/>
      <charset val="238"/>
    </font>
    <font>
      <sz val="10"/>
      <name val="Arial"/>
      <family val="2"/>
      <charset val="238"/>
    </font>
    <font>
      <b/>
      <sz val="12"/>
      <color rgb="FF000000"/>
      <name val="Times New Roman"/>
      <family val="1"/>
      <charset val="238"/>
    </font>
    <font>
      <sz val="12"/>
      <color rgb="FF000000"/>
      <name val="Times New Roman"/>
      <family val="1"/>
      <charset val="238"/>
    </font>
    <font>
      <b/>
      <sz val="12"/>
      <color rgb="FF000000"/>
      <name val="Times New Roman"/>
      <family val="1"/>
      <charset val="1"/>
    </font>
    <font>
      <b/>
      <sz val="16"/>
      <color rgb="FF000000"/>
      <name val="Calibri"/>
      <family val="2"/>
      <charset val="238"/>
    </font>
    <font>
      <sz val="16"/>
      <color rgb="FF000000"/>
      <name val="Calibri"/>
      <family val="2"/>
      <charset val="238"/>
    </font>
    <font>
      <vertAlign val="superscript"/>
      <sz val="16"/>
      <color rgb="FF000000"/>
      <name val="Calibri"/>
      <family val="2"/>
      <charset val="238"/>
    </font>
    <font>
      <vertAlign val="subscript"/>
      <sz val="16"/>
      <color rgb="FF000000"/>
      <name val="Calibri"/>
      <family val="2"/>
      <charset val="238"/>
    </font>
    <font>
      <sz val="12"/>
      <color rgb="FF000000"/>
      <name val="Times New Roman"/>
      <family val="1"/>
      <charset val="1"/>
    </font>
    <font>
      <b/>
      <sz val="16"/>
      <color rgb="FF000000"/>
      <name val="Times New Roman"/>
      <family val="1"/>
      <charset val="238"/>
    </font>
    <font>
      <sz val="16"/>
      <color rgb="FF000000"/>
      <name val="Times New Roman"/>
      <family val="1"/>
      <charset val="238"/>
    </font>
    <font>
      <b/>
      <sz val="16"/>
      <color rgb="FF000000"/>
      <name val="Arial"/>
      <family val="2"/>
      <charset val="238"/>
    </font>
    <font>
      <sz val="16"/>
      <color rgb="FF000000"/>
      <name val="Arial"/>
      <family val="2"/>
      <charset val="1"/>
    </font>
    <font>
      <sz val="16"/>
      <color rgb="FF000000"/>
      <name val="Times New Roman"/>
      <family val="1"/>
      <charset val="1"/>
    </font>
    <font>
      <sz val="12"/>
      <color rgb="FF000000"/>
      <name val="Arial"/>
      <family val="2"/>
      <charset val="1"/>
    </font>
    <font>
      <sz val="12"/>
      <color rgb="FF000000"/>
      <name val="Arial"/>
      <family val="2"/>
      <charset val="238"/>
    </font>
    <font>
      <sz val="16"/>
      <color rgb="FF000000"/>
      <name val="Arial"/>
      <family val="2"/>
      <charset val="238"/>
    </font>
    <font>
      <sz val="16"/>
      <color rgb="FF000000"/>
      <name val="Times New Roman"/>
      <family val="1"/>
    </font>
    <font>
      <i/>
      <sz val="12"/>
      <color rgb="FF000000"/>
      <name val="Times New Roman"/>
      <family val="1"/>
    </font>
    <font>
      <sz val="12"/>
      <color rgb="FF000000"/>
      <name val="Times New Roman"/>
      <family val="1"/>
    </font>
  </fonts>
  <fills count="2">
    <fill>
      <patternFill patternType="none"/>
    </fill>
    <fill>
      <patternFill patternType="gray125"/>
    </fill>
  </fills>
  <borders count="10">
    <border>
      <left/>
      <right/>
      <top/>
      <bottom/>
      <diagonal/>
    </border>
    <border>
      <left style="thin">
        <color auto="1"/>
      </left>
      <right/>
      <top/>
      <bottom/>
      <diagonal/>
    </border>
    <border>
      <left/>
      <right style="thin">
        <color auto="1"/>
      </right>
      <top style="thin">
        <color auto="1"/>
      </top>
      <bottom style="double">
        <color auto="1"/>
      </bottom>
      <diagonal/>
    </border>
    <border>
      <left style="thin">
        <color auto="1"/>
      </left>
      <right/>
      <top style="thin">
        <color auto="1"/>
      </top>
      <bottom style="double">
        <color auto="1"/>
      </bottom>
      <diagonal/>
    </border>
    <border>
      <left/>
      <right/>
      <top style="thin">
        <color auto="1"/>
      </top>
      <bottom style="double">
        <color auto="1"/>
      </bottom>
      <diagonal/>
    </border>
    <border>
      <left style="thin">
        <color auto="1"/>
      </left>
      <right/>
      <top/>
      <bottom style="double">
        <color auto="1"/>
      </bottom>
      <diagonal/>
    </border>
    <border>
      <left/>
      <right/>
      <top/>
      <bottom style="double">
        <color auto="1"/>
      </bottom>
      <diagonal/>
    </border>
    <border>
      <left/>
      <right/>
      <top style="double">
        <color auto="1"/>
      </top>
      <bottom/>
      <diagonal/>
    </border>
    <border>
      <left/>
      <right/>
      <top style="double">
        <color auto="1"/>
      </top>
      <bottom style="thin">
        <color auto="1"/>
      </bottom>
      <diagonal/>
    </border>
    <border>
      <left style="thin">
        <color auto="1"/>
      </left>
      <right style="thin">
        <color auto="1"/>
      </right>
      <top/>
      <bottom/>
      <diagonal/>
    </border>
  </borders>
  <cellStyleXfs count="2">
    <xf numFmtId="0" fontId="0" fillId="0" borderId="0"/>
    <xf numFmtId="0" fontId="1" fillId="0" borderId="0"/>
  </cellStyleXfs>
  <cellXfs count="31">
    <xf numFmtId="0" fontId="0" fillId="0" borderId="0" xfId="0"/>
    <xf numFmtId="0" fontId="5" fillId="0" borderId="0" xfId="0" applyFont="1" applyAlignment="1">
      <alignment horizontal="left" vertical="center" wrapText="1"/>
    </xf>
    <xf numFmtId="0" fontId="15" fillId="0" borderId="0" xfId="0" applyFont="1" applyAlignment="1">
      <alignment horizontal="left" vertical="top" wrapText="1"/>
    </xf>
    <xf numFmtId="0" fontId="15" fillId="0" borderId="0" xfId="0" applyFont="1" applyAlignment="1" applyProtection="1">
      <alignment horizontal="left" vertical="top" wrapText="1"/>
      <protection locked="0"/>
    </xf>
    <xf numFmtId="0" fontId="9" fillId="0" borderId="0" xfId="0" applyFont="1" applyAlignment="1">
      <alignment horizontal="left" vertical="center" wrapText="1"/>
    </xf>
    <xf numFmtId="0" fontId="2" fillId="0" borderId="0" xfId="0" applyFont="1" applyAlignment="1">
      <alignment horizontal="lef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0" fillId="0" borderId="0" xfId="0" applyAlignment="1">
      <alignment horizontal="left"/>
    </xf>
    <xf numFmtId="0" fontId="2" fillId="0" borderId="0" xfId="0" applyFont="1" applyAlignment="1">
      <alignment horizontal="left" vertical="center"/>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4" fillId="0" borderId="4" xfId="0" applyFont="1" applyBorder="1" applyAlignment="1">
      <alignment horizontal="left" vertical="center"/>
    </xf>
    <xf numFmtId="0" fontId="4" fillId="0" borderId="5" xfId="0" applyFont="1" applyBorder="1" applyAlignment="1">
      <alignment horizontal="left" vertical="center" wrapText="1"/>
    </xf>
    <xf numFmtId="0" fontId="4" fillId="0" borderId="6" xfId="0" applyFont="1" applyBorder="1" applyAlignment="1">
      <alignment horizontal="left" vertical="center" wrapText="1"/>
    </xf>
    <xf numFmtId="0" fontId="2" fillId="0" borderId="7" xfId="0" applyFont="1" applyBorder="1" applyAlignment="1">
      <alignment horizontal="left" vertical="center" wrapText="1"/>
    </xf>
    <xf numFmtId="0" fontId="3" fillId="0" borderId="8" xfId="0" applyFont="1" applyBorder="1" applyAlignment="1">
      <alignment horizontal="left" vertical="center" wrapText="1"/>
    </xf>
    <xf numFmtId="0" fontId="3" fillId="0" borderId="8" xfId="0" applyFont="1" applyBorder="1" applyAlignment="1">
      <alignment horizontal="left" vertical="center"/>
    </xf>
    <xf numFmtId="0" fontId="2" fillId="0" borderId="9" xfId="0" applyFont="1" applyBorder="1" applyAlignment="1">
      <alignment horizontal="left" vertical="center" wrapText="1"/>
    </xf>
    <xf numFmtId="0" fontId="2" fillId="0" borderId="1" xfId="0" applyFont="1" applyBorder="1" applyAlignment="1">
      <alignment horizontal="left" vertical="center" wrapText="1"/>
    </xf>
    <xf numFmtId="0" fontId="10" fillId="0" borderId="0" xfId="0" applyFont="1" applyAlignment="1">
      <alignment horizontal="left" vertical="center" wrapText="1"/>
    </xf>
    <xf numFmtId="0" fontId="12" fillId="0" borderId="0" xfId="0" applyFont="1" applyAlignment="1">
      <alignment horizontal="left" vertical="center" wrapText="1"/>
    </xf>
    <xf numFmtId="0" fontId="16" fillId="0" borderId="0" xfId="0" applyFont="1" applyAlignment="1" applyProtection="1">
      <alignment horizontal="left" vertical="center" wrapText="1"/>
      <protection locked="0"/>
    </xf>
    <xf numFmtId="0" fontId="16" fillId="0" borderId="0" xfId="0" applyFont="1" applyAlignment="1" applyProtection="1">
      <alignment horizontal="left" wrapText="1"/>
      <protection locked="0"/>
    </xf>
    <xf numFmtId="0" fontId="15" fillId="0" borderId="0" xfId="0" applyFont="1" applyAlignment="1">
      <alignment horizontal="left" vertical="top" wrapText="1"/>
    </xf>
    <xf numFmtId="0" fontId="4" fillId="0" borderId="1" xfId="0" applyFont="1" applyBorder="1" applyAlignment="1">
      <alignment horizontal="center" vertical="center" wrapText="1"/>
    </xf>
    <xf numFmtId="0" fontId="4" fillId="0" borderId="0" xfId="0" applyFont="1" applyAlignment="1">
      <alignment horizontal="center" vertical="center" wrapText="1"/>
    </xf>
    <xf numFmtId="0" fontId="2" fillId="0" borderId="0" xfId="0" applyFont="1" applyAlignment="1">
      <alignment horizontal="left" vertical="center" wrapText="1"/>
    </xf>
    <xf numFmtId="0" fontId="4" fillId="0" borderId="0" xfId="0" applyFont="1" applyAlignment="1">
      <alignment horizontal="left" vertical="center" wrapText="1"/>
    </xf>
    <xf numFmtId="0" fontId="3" fillId="0" borderId="0" xfId="0" applyFont="1" applyAlignment="1">
      <alignment horizontal="left" vertical="center" wrapText="1"/>
    </xf>
    <xf numFmtId="0" fontId="20" fillId="0" borderId="0" xfId="0" applyFont="1" applyAlignment="1">
      <alignment horizontal="left" vertical="center" wrapText="1"/>
    </xf>
  </cellXfs>
  <cellStyles count="2">
    <cellStyle name="Normal" xfId="0" builtinId="0"/>
    <cellStyle name="Normalny 2" xfId="1"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38"/>
  <sheetViews>
    <sheetView tabSelected="1" topLeftCell="E31" zoomScale="150" zoomScaleNormal="150" workbookViewId="0">
      <selection activeCell="I32" sqref="I32"/>
    </sheetView>
  </sheetViews>
  <sheetFormatPr baseColWidth="10" defaultColWidth="9.1640625" defaultRowHeight="16" x14ac:dyDescent="0.15"/>
  <cols>
    <col min="1" max="1" width="4.6640625" style="5" customWidth="1"/>
    <col min="2" max="2" width="45.6640625" style="6" customWidth="1"/>
    <col min="3" max="3" width="35.6640625" style="6" customWidth="1"/>
    <col min="4" max="4" width="50.83203125" style="6" customWidth="1"/>
    <col min="5" max="6" width="15.83203125" style="5" customWidth="1"/>
    <col min="7" max="8" width="15.83203125" style="6" customWidth="1"/>
    <col min="9" max="11" width="20.83203125" style="6" customWidth="1"/>
    <col min="12" max="1017" width="9.1640625" style="6"/>
    <col min="1018" max="1023" width="9.1640625" style="7"/>
    <col min="1024" max="16384" width="9.1640625" style="8"/>
  </cols>
  <sheetData>
    <row r="1" spans="1:1024" ht="80" customHeight="1" x14ac:dyDescent="0.15">
      <c r="B1" s="27" t="s">
        <v>0</v>
      </c>
      <c r="C1" s="27"/>
      <c r="D1" s="27"/>
      <c r="E1" s="27"/>
      <c r="ALY1" s="7"/>
      <c r="ALZ1" s="7"/>
      <c r="AMA1" s="7"/>
      <c r="AMB1" s="7"/>
      <c r="AMC1" s="7"/>
    </row>
    <row r="2" spans="1:1024" ht="120" customHeight="1" x14ac:dyDescent="0.15">
      <c r="B2" s="28" t="s">
        <v>1</v>
      </c>
      <c r="C2" s="28"/>
      <c r="D2" s="28"/>
      <c r="E2" s="28"/>
      <c r="F2" s="6"/>
      <c r="ALY2" s="7"/>
      <c r="ALZ2" s="7"/>
      <c r="AMA2" s="7"/>
      <c r="AMB2" s="7"/>
      <c r="AMC2" s="7"/>
    </row>
    <row r="3" spans="1:1024" ht="80" customHeight="1" x14ac:dyDescent="0.15">
      <c r="A3" s="9"/>
      <c r="B3" s="29" t="s">
        <v>42</v>
      </c>
      <c r="C3" s="29"/>
      <c r="D3" s="29"/>
      <c r="E3" s="29"/>
      <c r="F3" s="6"/>
      <c r="L3" s="7"/>
      <c r="M3" s="7"/>
      <c r="N3" s="7"/>
      <c r="O3" s="7"/>
      <c r="ALX3" s="7"/>
      <c r="ALY3" s="7"/>
      <c r="ALZ3" s="7"/>
      <c r="AMA3" s="7"/>
      <c r="AMB3" s="7"/>
      <c r="AMC3" s="7"/>
    </row>
    <row r="4" spans="1:1024" ht="80" customHeight="1" x14ac:dyDescent="0.15">
      <c r="A4" s="9"/>
      <c r="E4" s="25" t="s">
        <v>2</v>
      </c>
      <c r="F4" s="26"/>
      <c r="G4" s="26"/>
      <c r="H4" s="26"/>
      <c r="I4" s="26"/>
      <c r="J4" s="26"/>
      <c r="K4" s="26"/>
      <c r="L4" s="7"/>
      <c r="M4" s="7"/>
      <c r="N4" s="7"/>
      <c r="O4" s="7"/>
      <c r="ALX4" s="7"/>
      <c r="ALY4" s="7"/>
      <c r="ALZ4" s="7"/>
      <c r="AMA4" s="7"/>
      <c r="AMB4" s="7"/>
      <c r="AMC4" s="7"/>
    </row>
    <row r="5" spans="1:1024" ht="120" customHeight="1" thickBot="1" x14ac:dyDescent="0.2">
      <c r="A5" s="10" t="s">
        <v>3</v>
      </c>
      <c r="B5" s="11" t="s">
        <v>4</v>
      </c>
      <c r="C5" s="11" t="s">
        <v>5</v>
      </c>
      <c r="D5" s="12" t="s">
        <v>6</v>
      </c>
      <c r="E5" s="13" t="s">
        <v>38</v>
      </c>
      <c r="F5" s="13" t="s">
        <v>7</v>
      </c>
      <c r="G5" s="14" t="s">
        <v>37</v>
      </c>
      <c r="H5" s="14" t="s">
        <v>8</v>
      </c>
      <c r="I5" s="14" t="s">
        <v>34</v>
      </c>
      <c r="J5" s="14" t="s">
        <v>51</v>
      </c>
      <c r="K5" s="14" t="s">
        <v>9</v>
      </c>
      <c r="ALV5" s="7"/>
      <c r="ALW5" s="7"/>
      <c r="ALX5" s="7"/>
      <c r="ALY5" s="7"/>
      <c r="ALZ5" s="7"/>
      <c r="AMA5" s="7"/>
      <c r="AMB5" s="7"/>
      <c r="AMC5" s="7"/>
    </row>
    <row r="6" spans="1:1024" ht="30" customHeight="1" thickTop="1" x14ac:dyDescent="0.15">
      <c r="A6" s="15"/>
      <c r="B6" s="16"/>
      <c r="C6" s="16"/>
      <c r="D6" s="17"/>
      <c r="E6" s="16"/>
      <c r="F6" s="16"/>
      <c r="G6" s="16"/>
      <c r="H6" s="16"/>
      <c r="I6" s="16"/>
      <c r="J6" s="16"/>
      <c r="K6" s="16"/>
      <c r="ALV6" s="7"/>
      <c r="ALW6" s="7"/>
      <c r="ALX6" s="7"/>
      <c r="ALY6" s="7"/>
      <c r="ALZ6" s="7"/>
      <c r="AMA6" s="7"/>
      <c r="AMB6" s="7"/>
      <c r="AMC6" s="7"/>
    </row>
    <row r="7" spans="1:1024" s="5" customFormat="1" ht="150" customHeight="1" x14ac:dyDescent="0.15">
      <c r="A7" s="18">
        <v>1</v>
      </c>
      <c r="B7" s="19" t="s">
        <v>10</v>
      </c>
      <c r="C7" s="19" t="s">
        <v>11</v>
      </c>
      <c r="D7" s="1" t="s">
        <v>62</v>
      </c>
      <c r="E7" s="4" t="s">
        <v>63</v>
      </c>
      <c r="F7" s="4">
        <v>-1</v>
      </c>
      <c r="G7" s="4" t="s">
        <v>64</v>
      </c>
      <c r="H7" s="4">
        <v>-1</v>
      </c>
      <c r="I7" s="30" t="s">
        <v>47</v>
      </c>
      <c r="J7" s="30">
        <v>1</v>
      </c>
      <c r="K7" s="30">
        <v>1</v>
      </c>
      <c r="ALV7" s="9"/>
      <c r="ALW7" s="9"/>
      <c r="ALX7" s="9"/>
      <c r="ALY7" s="9"/>
      <c r="ALZ7" s="9"/>
      <c r="AMA7" s="9"/>
      <c r="AMB7" s="9"/>
      <c r="AMC7" s="9"/>
      <c r="AMD7" s="9"/>
      <c r="AME7" s="9"/>
      <c r="AMF7" s="9"/>
      <c r="AMG7" s="9"/>
      <c r="AMH7" s="9"/>
      <c r="AMI7" s="9"/>
      <c r="AMJ7" s="8"/>
    </row>
    <row r="8" spans="1:1024" s="5" customFormat="1" ht="150" customHeight="1" x14ac:dyDescent="0.15">
      <c r="A8" s="18">
        <v>2</v>
      </c>
      <c r="B8" s="5" t="s">
        <v>12</v>
      </c>
      <c r="C8" s="5" t="s">
        <v>13</v>
      </c>
      <c r="D8" s="20" t="s">
        <v>14</v>
      </c>
      <c r="E8" s="4" t="s">
        <v>15</v>
      </c>
      <c r="F8" s="4">
        <v>-15</v>
      </c>
      <c r="G8" s="4" t="s">
        <v>15</v>
      </c>
      <c r="H8" s="4">
        <v>-15</v>
      </c>
      <c r="I8" s="30">
        <v>1</v>
      </c>
      <c r="J8" s="30">
        <v>1</v>
      </c>
      <c r="K8" s="30">
        <v>1</v>
      </c>
      <c r="ALX8" s="9"/>
      <c r="ALY8" s="9"/>
      <c r="ALZ8" s="9"/>
      <c r="AMA8" s="9"/>
      <c r="AMB8" s="9"/>
      <c r="AMC8" s="9"/>
      <c r="AMD8" s="9"/>
      <c r="AME8" s="9"/>
      <c r="AMF8" s="9"/>
      <c r="AMG8" s="9"/>
      <c r="AMH8" s="9"/>
      <c r="AMI8" s="9"/>
      <c r="AMJ8" s="8"/>
    </row>
    <row r="9" spans="1:1024" s="5" customFormat="1" ht="150" customHeight="1" x14ac:dyDescent="0.15">
      <c r="A9" s="18">
        <v>3</v>
      </c>
      <c r="B9" s="5" t="s">
        <v>16</v>
      </c>
      <c r="C9" s="5" t="s">
        <v>31</v>
      </c>
      <c r="D9" s="21" t="s">
        <v>127</v>
      </c>
      <c r="E9" s="4" t="s">
        <v>65</v>
      </c>
      <c r="F9" s="4">
        <v>-10</v>
      </c>
      <c r="G9" s="4" t="s">
        <v>66</v>
      </c>
      <c r="H9" s="4">
        <v>-11</v>
      </c>
      <c r="I9" s="30" t="s">
        <v>46</v>
      </c>
      <c r="J9" s="30">
        <v>0</v>
      </c>
      <c r="K9" s="30">
        <v>0</v>
      </c>
      <c r="ALX9" s="9"/>
      <c r="ALY9" s="9"/>
      <c r="ALZ9" s="9"/>
      <c r="AMA9" s="9"/>
      <c r="AMB9" s="9"/>
      <c r="AMC9" s="9"/>
      <c r="AMD9" s="9"/>
      <c r="AME9" s="9"/>
      <c r="AMF9" s="9"/>
      <c r="AMG9" s="9"/>
      <c r="AMH9" s="9"/>
      <c r="AMI9" s="9"/>
      <c r="AMJ9" s="8"/>
    </row>
    <row r="10" spans="1:1024" s="5" customFormat="1" ht="180" customHeight="1" x14ac:dyDescent="0.15">
      <c r="A10" s="18">
        <v>4</v>
      </c>
      <c r="B10" s="5" t="s">
        <v>17</v>
      </c>
      <c r="C10" s="5" t="s">
        <v>39</v>
      </c>
      <c r="D10" s="20" t="s">
        <v>67</v>
      </c>
      <c r="E10" s="4" t="s">
        <v>68</v>
      </c>
      <c r="F10" s="4">
        <v>0</v>
      </c>
      <c r="G10" s="4" t="s">
        <v>69</v>
      </c>
      <c r="H10" s="4">
        <v>0</v>
      </c>
      <c r="I10" s="30" t="s">
        <v>45</v>
      </c>
      <c r="J10" s="30">
        <v>1</v>
      </c>
      <c r="K10" s="30">
        <v>1</v>
      </c>
      <c r="ALX10" s="9"/>
      <c r="ALY10" s="9"/>
      <c r="ALZ10" s="9"/>
      <c r="AMA10" s="9"/>
      <c r="AMB10" s="9"/>
      <c r="AMC10" s="9"/>
      <c r="AMD10" s="9"/>
      <c r="AME10" s="9"/>
      <c r="AMF10" s="9"/>
      <c r="AMG10" s="9"/>
      <c r="AMH10" s="9"/>
      <c r="AMI10" s="9"/>
      <c r="AMJ10" s="8"/>
    </row>
    <row r="11" spans="1:1024" s="5" customFormat="1" ht="150" customHeight="1" x14ac:dyDescent="0.15">
      <c r="A11" s="18">
        <v>5</v>
      </c>
      <c r="B11" s="5" t="s">
        <v>19</v>
      </c>
      <c r="C11" s="5" t="s">
        <v>32</v>
      </c>
      <c r="D11" s="20" t="s">
        <v>20</v>
      </c>
      <c r="E11" s="4" t="s">
        <v>21</v>
      </c>
      <c r="F11" s="4">
        <v>-1</v>
      </c>
      <c r="G11" s="4" t="s">
        <v>22</v>
      </c>
      <c r="H11" s="4">
        <v>-1</v>
      </c>
      <c r="I11" s="30" t="s">
        <v>44</v>
      </c>
      <c r="J11" s="30">
        <v>1</v>
      </c>
      <c r="K11" s="30">
        <v>1</v>
      </c>
      <c r="ALX11" s="9"/>
      <c r="ALY11" s="9"/>
      <c r="ALZ11" s="9"/>
      <c r="AMA11" s="9"/>
      <c r="AMB11" s="9"/>
      <c r="AMC11" s="9"/>
      <c r="AMD11" s="9"/>
      <c r="AME11" s="9"/>
      <c r="AMF11" s="9"/>
      <c r="AMG11" s="9"/>
      <c r="AMH11" s="9"/>
      <c r="AMI11" s="9"/>
      <c r="AMJ11" s="8"/>
    </row>
    <row r="12" spans="1:1024" s="5" customFormat="1" ht="150" customHeight="1" x14ac:dyDescent="0.15">
      <c r="A12" s="18">
        <v>6</v>
      </c>
      <c r="B12" s="5" t="s">
        <v>23</v>
      </c>
      <c r="C12" s="5" t="s">
        <v>33</v>
      </c>
      <c r="D12" s="20" t="s">
        <v>70</v>
      </c>
      <c r="E12" s="4" t="s">
        <v>24</v>
      </c>
      <c r="F12" s="4">
        <v>-3</v>
      </c>
      <c r="G12" s="4" t="s">
        <v>25</v>
      </c>
      <c r="H12" s="4">
        <v>-3</v>
      </c>
      <c r="I12" s="30" t="s">
        <v>43</v>
      </c>
      <c r="J12" s="30">
        <v>1</v>
      </c>
      <c r="K12" s="30">
        <v>1</v>
      </c>
      <c r="ALX12" s="9"/>
      <c r="ALY12" s="9"/>
      <c r="ALZ12" s="9"/>
      <c r="AMA12" s="9"/>
      <c r="AMB12" s="9"/>
      <c r="AMC12" s="9"/>
      <c r="AMD12" s="9"/>
      <c r="AME12" s="9"/>
      <c r="AMF12" s="9"/>
      <c r="AMG12" s="9"/>
      <c r="AMH12" s="9"/>
      <c r="AMI12" s="9"/>
      <c r="AMJ12" s="8"/>
    </row>
    <row r="13" spans="1:1024" s="5" customFormat="1" ht="150" customHeight="1" x14ac:dyDescent="0.15">
      <c r="A13" s="18">
        <v>7</v>
      </c>
      <c r="B13" s="5" t="s">
        <v>26</v>
      </c>
      <c r="C13" s="5" t="s">
        <v>13</v>
      </c>
      <c r="D13" s="20" t="s">
        <v>71</v>
      </c>
      <c r="E13" s="4" t="s">
        <v>27</v>
      </c>
      <c r="F13" s="4">
        <v>-12</v>
      </c>
      <c r="G13" s="4" t="s">
        <v>28</v>
      </c>
      <c r="H13" s="4">
        <v>-12</v>
      </c>
      <c r="I13" s="30" t="s">
        <v>48</v>
      </c>
      <c r="J13" s="30">
        <v>1</v>
      </c>
      <c r="K13" s="30">
        <v>1</v>
      </c>
      <c r="ALX13" s="9"/>
      <c r="ALY13" s="9"/>
      <c r="ALZ13" s="9"/>
      <c r="AMA13" s="9"/>
      <c r="AMB13" s="9"/>
      <c r="AMC13" s="9"/>
      <c r="AMD13" s="9"/>
      <c r="AME13" s="9"/>
      <c r="AMF13" s="9"/>
      <c r="AMG13" s="9"/>
      <c r="AMH13" s="9"/>
      <c r="AMI13" s="9"/>
      <c r="AMJ13" s="8"/>
    </row>
    <row r="14" spans="1:1024" s="5" customFormat="1" ht="150" customHeight="1" x14ac:dyDescent="0.15">
      <c r="A14" s="18">
        <v>8</v>
      </c>
      <c r="B14" s="5" t="s">
        <v>29</v>
      </c>
      <c r="C14" s="5" t="s">
        <v>35</v>
      </c>
      <c r="D14" s="20" t="s">
        <v>36</v>
      </c>
      <c r="E14" s="4" t="s">
        <v>128</v>
      </c>
      <c r="F14" s="4">
        <v>-2</v>
      </c>
      <c r="G14" s="4" t="s">
        <v>40</v>
      </c>
      <c r="H14" s="4">
        <v>-1</v>
      </c>
      <c r="I14" s="30" t="s">
        <v>52</v>
      </c>
      <c r="J14" s="30">
        <v>0</v>
      </c>
      <c r="K14" s="30">
        <v>1</v>
      </c>
      <c r="ALX14" s="9"/>
      <c r="ALY14" s="9"/>
      <c r="ALZ14" s="9"/>
      <c r="AMA14" s="9"/>
      <c r="AMB14" s="9"/>
      <c r="AMC14" s="9"/>
      <c r="AMD14" s="9"/>
      <c r="AME14" s="9"/>
      <c r="AMF14" s="9"/>
      <c r="AMG14" s="9"/>
      <c r="AMH14" s="9"/>
      <c r="AMI14" s="9"/>
      <c r="AMJ14" s="8"/>
    </row>
    <row r="15" spans="1:1024" s="5" customFormat="1" ht="150" customHeight="1" x14ac:dyDescent="0.15">
      <c r="A15" s="18">
        <v>9</v>
      </c>
      <c r="B15" s="5" t="s">
        <v>30</v>
      </c>
      <c r="C15" s="5" t="s">
        <v>39</v>
      </c>
      <c r="D15" s="20" t="s">
        <v>126</v>
      </c>
      <c r="E15" s="4" t="s">
        <v>72</v>
      </c>
      <c r="F15" s="4">
        <v>-1</v>
      </c>
      <c r="G15" s="4" t="s">
        <v>73</v>
      </c>
      <c r="H15" s="4">
        <v>0</v>
      </c>
      <c r="I15" s="30" t="s">
        <v>49</v>
      </c>
      <c r="J15" s="30">
        <v>0</v>
      </c>
      <c r="K15" s="30">
        <v>1</v>
      </c>
      <c r="ALX15" s="9"/>
      <c r="ALY15" s="9"/>
      <c r="ALZ15" s="9"/>
      <c r="AMA15" s="9"/>
      <c r="AMB15" s="9"/>
      <c r="AMC15" s="9"/>
      <c r="AMD15" s="9"/>
      <c r="AME15" s="9"/>
      <c r="AMF15" s="9"/>
      <c r="AMG15" s="9"/>
      <c r="AMH15" s="9"/>
      <c r="AMI15" s="9"/>
      <c r="AMJ15" s="8"/>
    </row>
    <row r="16" spans="1:1024" ht="140" customHeight="1" x14ac:dyDescent="0.15">
      <c r="A16" s="5">
        <v>10</v>
      </c>
      <c r="B16" s="5" t="s">
        <v>41</v>
      </c>
      <c r="C16" s="5" t="s">
        <v>39</v>
      </c>
      <c r="D16" s="20" t="s">
        <v>129</v>
      </c>
      <c r="E16" s="4" t="s">
        <v>74</v>
      </c>
      <c r="F16" s="6">
        <v>-26</v>
      </c>
      <c r="G16" s="4" t="s">
        <v>75</v>
      </c>
      <c r="H16" s="6">
        <v>-27</v>
      </c>
      <c r="I16" s="30" t="s">
        <v>50</v>
      </c>
      <c r="J16" s="30">
        <v>0</v>
      </c>
      <c r="K16" s="30">
        <v>0</v>
      </c>
    </row>
    <row r="17" spans="1:11" ht="140" customHeight="1" x14ac:dyDescent="0.15">
      <c r="A17" s="5">
        <v>11</v>
      </c>
      <c r="B17" s="5" t="s">
        <v>53</v>
      </c>
      <c r="C17" s="5" t="s">
        <v>54</v>
      </c>
      <c r="D17" s="20" t="s">
        <v>130</v>
      </c>
      <c r="E17" s="4" t="s">
        <v>55</v>
      </c>
      <c r="F17" s="6">
        <v>-3</v>
      </c>
      <c r="G17" s="4" t="s">
        <v>56</v>
      </c>
      <c r="H17" s="6">
        <v>-2</v>
      </c>
      <c r="I17" s="30" t="s">
        <v>57</v>
      </c>
      <c r="J17" s="30">
        <v>0</v>
      </c>
      <c r="K17" s="30">
        <v>1</v>
      </c>
    </row>
    <row r="18" spans="1:11" ht="140" customHeight="1" x14ac:dyDescent="0.15">
      <c r="A18" s="5">
        <v>12</v>
      </c>
      <c r="B18" s="5" t="s">
        <v>58</v>
      </c>
      <c r="C18" s="5" t="s">
        <v>54</v>
      </c>
      <c r="D18" s="20" t="s">
        <v>131</v>
      </c>
      <c r="E18" s="4" t="s">
        <v>59</v>
      </c>
      <c r="F18" s="6">
        <v>19</v>
      </c>
      <c r="G18" s="4" t="s">
        <v>60</v>
      </c>
      <c r="H18" s="6">
        <v>19</v>
      </c>
      <c r="I18" s="6" t="s">
        <v>61</v>
      </c>
      <c r="J18" s="6">
        <v>1</v>
      </c>
      <c r="K18" s="6">
        <v>1</v>
      </c>
    </row>
    <row r="19" spans="1:11" ht="140" customHeight="1" x14ac:dyDescent="0.15">
      <c r="A19" s="5">
        <v>13</v>
      </c>
      <c r="B19" s="5" t="s">
        <v>76</v>
      </c>
      <c r="C19" s="5" t="s">
        <v>33</v>
      </c>
      <c r="D19" s="20" t="s">
        <v>132</v>
      </c>
      <c r="E19" s="4" t="s">
        <v>78</v>
      </c>
      <c r="F19" s="6">
        <v>5</v>
      </c>
      <c r="G19" s="4" t="s">
        <v>79</v>
      </c>
      <c r="H19" s="6">
        <v>5</v>
      </c>
      <c r="I19" s="6" t="s">
        <v>77</v>
      </c>
      <c r="J19" s="6">
        <v>1</v>
      </c>
      <c r="K19" s="6">
        <v>1</v>
      </c>
    </row>
    <row r="20" spans="1:11" ht="140" customHeight="1" x14ac:dyDescent="0.15">
      <c r="A20" s="5">
        <v>14</v>
      </c>
      <c r="B20" s="5" t="s">
        <v>80</v>
      </c>
      <c r="C20" s="5" t="s">
        <v>82</v>
      </c>
      <c r="D20" s="20" t="s">
        <v>133</v>
      </c>
      <c r="E20" s="4" t="s">
        <v>83</v>
      </c>
      <c r="F20" s="6">
        <v>-8</v>
      </c>
      <c r="G20" s="4" t="s">
        <v>84</v>
      </c>
      <c r="H20" s="6">
        <v>-8</v>
      </c>
      <c r="I20" s="6" t="s">
        <v>81</v>
      </c>
      <c r="J20" s="6">
        <v>1</v>
      </c>
      <c r="K20" s="6">
        <v>1</v>
      </c>
    </row>
    <row r="21" spans="1:11" ht="160" customHeight="1" x14ac:dyDescent="0.15">
      <c r="A21" s="5">
        <v>15</v>
      </c>
      <c r="B21" s="5" t="s">
        <v>85</v>
      </c>
      <c r="C21" s="5" t="s">
        <v>31</v>
      </c>
      <c r="D21" s="20" t="s">
        <v>134</v>
      </c>
      <c r="E21" s="4" t="s">
        <v>86</v>
      </c>
      <c r="F21" s="6">
        <v>0</v>
      </c>
      <c r="G21" s="4" t="s">
        <v>87</v>
      </c>
      <c r="H21" s="6">
        <v>0</v>
      </c>
      <c r="I21" s="6" t="s">
        <v>88</v>
      </c>
      <c r="J21" s="6">
        <v>1</v>
      </c>
      <c r="K21" s="6">
        <v>1</v>
      </c>
    </row>
    <row r="22" spans="1:11" ht="140" customHeight="1" x14ac:dyDescent="0.15">
      <c r="A22" s="5">
        <v>16</v>
      </c>
      <c r="B22" s="5" t="s">
        <v>89</v>
      </c>
      <c r="C22" s="5" t="s">
        <v>54</v>
      </c>
      <c r="D22" s="20" t="s">
        <v>135</v>
      </c>
      <c r="E22" s="4" t="s">
        <v>90</v>
      </c>
      <c r="F22" s="6">
        <v>-1</v>
      </c>
      <c r="G22" s="4" t="s">
        <v>91</v>
      </c>
      <c r="H22" s="6">
        <v>-1</v>
      </c>
      <c r="I22" s="6" t="s">
        <v>92</v>
      </c>
      <c r="J22" s="6">
        <v>1</v>
      </c>
      <c r="K22" s="6">
        <v>1</v>
      </c>
    </row>
    <row r="23" spans="1:11" ht="140" customHeight="1" x14ac:dyDescent="0.15">
      <c r="A23" s="5">
        <v>17</v>
      </c>
      <c r="B23" s="5" t="s">
        <v>93</v>
      </c>
      <c r="C23" s="5" t="s">
        <v>82</v>
      </c>
      <c r="D23" s="20" t="s">
        <v>136</v>
      </c>
      <c r="E23" s="4" t="s">
        <v>95</v>
      </c>
      <c r="F23" s="6">
        <v>-11</v>
      </c>
      <c r="G23" s="4" t="s">
        <v>96</v>
      </c>
      <c r="H23" s="6">
        <v>-11</v>
      </c>
      <c r="I23" s="6" t="s">
        <v>94</v>
      </c>
      <c r="J23" s="6">
        <v>1</v>
      </c>
      <c r="K23" s="6">
        <v>1</v>
      </c>
    </row>
    <row r="24" spans="1:11" ht="140" customHeight="1" x14ac:dyDescent="0.15">
      <c r="A24" s="5">
        <v>18</v>
      </c>
      <c r="B24" s="5" t="s">
        <v>97</v>
      </c>
      <c r="C24" s="5" t="s">
        <v>11</v>
      </c>
      <c r="D24" s="20" t="s">
        <v>137</v>
      </c>
      <c r="E24" s="4" t="s">
        <v>98</v>
      </c>
      <c r="F24" s="6">
        <v>-1</v>
      </c>
      <c r="G24" s="4" t="s">
        <v>99</v>
      </c>
      <c r="H24" s="6">
        <v>0</v>
      </c>
      <c r="I24" s="6" t="s">
        <v>100</v>
      </c>
      <c r="J24" s="6">
        <v>0</v>
      </c>
      <c r="K24" s="6">
        <v>1</v>
      </c>
    </row>
    <row r="25" spans="1:11" ht="140" customHeight="1" x14ac:dyDescent="0.15">
      <c r="A25" s="5">
        <v>19</v>
      </c>
      <c r="B25" s="5" t="s">
        <v>101</v>
      </c>
      <c r="C25" s="5" t="s">
        <v>11</v>
      </c>
      <c r="D25" s="20" t="s">
        <v>138</v>
      </c>
      <c r="E25" s="4" t="s">
        <v>102</v>
      </c>
      <c r="F25" s="6">
        <v>0</v>
      </c>
      <c r="G25" s="4" t="s">
        <v>102</v>
      </c>
      <c r="H25" s="6">
        <v>0</v>
      </c>
      <c r="I25" s="6" t="s">
        <v>103</v>
      </c>
      <c r="J25" s="6">
        <v>1</v>
      </c>
      <c r="K25" s="6">
        <v>1</v>
      </c>
    </row>
    <row r="26" spans="1:11" ht="140" customHeight="1" x14ac:dyDescent="0.15">
      <c r="A26" s="5">
        <v>20</v>
      </c>
      <c r="B26" s="5" t="s">
        <v>104</v>
      </c>
      <c r="C26" s="5" t="s">
        <v>11</v>
      </c>
      <c r="D26" s="20" t="s">
        <v>139</v>
      </c>
      <c r="E26" s="4" t="s">
        <v>105</v>
      </c>
      <c r="F26" s="6">
        <v>0</v>
      </c>
      <c r="G26" s="4" t="s">
        <v>106</v>
      </c>
      <c r="H26" s="6">
        <v>0</v>
      </c>
      <c r="I26" s="6" t="s">
        <v>107</v>
      </c>
      <c r="J26" s="6">
        <v>1</v>
      </c>
      <c r="K26" s="6">
        <v>1</v>
      </c>
    </row>
    <row r="27" spans="1:11" ht="140" customHeight="1" x14ac:dyDescent="0.15">
      <c r="A27" s="5">
        <v>21</v>
      </c>
      <c r="B27" s="5" t="s">
        <v>108</v>
      </c>
      <c r="C27" s="5" t="s">
        <v>33</v>
      </c>
      <c r="D27" s="20" t="s">
        <v>140</v>
      </c>
      <c r="E27" s="4" t="s">
        <v>125</v>
      </c>
      <c r="F27" s="6">
        <v>5</v>
      </c>
      <c r="G27" s="4" t="s">
        <v>109</v>
      </c>
      <c r="H27" s="6">
        <v>4</v>
      </c>
      <c r="I27" s="6" t="s">
        <v>110</v>
      </c>
      <c r="J27" s="6">
        <v>0</v>
      </c>
      <c r="K27" s="6">
        <v>0</v>
      </c>
    </row>
    <row r="28" spans="1:11" ht="140" customHeight="1" x14ac:dyDescent="0.15">
      <c r="A28" s="5">
        <v>22</v>
      </c>
      <c r="B28" s="5" t="s">
        <v>111</v>
      </c>
      <c r="C28" s="5" t="s">
        <v>35</v>
      </c>
      <c r="D28" s="20" t="s">
        <v>141</v>
      </c>
      <c r="E28" s="4" t="s">
        <v>112</v>
      </c>
      <c r="F28" s="6">
        <v>-2</v>
      </c>
      <c r="G28" s="4" t="s">
        <v>113</v>
      </c>
      <c r="H28" s="6">
        <v>-1</v>
      </c>
      <c r="I28" s="6" t="s">
        <v>114</v>
      </c>
      <c r="J28" s="6">
        <v>0</v>
      </c>
      <c r="K28" s="6">
        <v>1</v>
      </c>
    </row>
    <row r="29" spans="1:11" ht="140" customHeight="1" x14ac:dyDescent="0.15">
      <c r="A29" s="5">
        <v>23</v>
      </c>
      <c r="B29" s="5" t="s">
        <v>115</v>
      </c>
      <c r="C29" s="5" t="s">
        <v>39</v>
      </c>
      <c r="D29" s="20" t="s">
        <v>142</v>
      </c>
      <c r="E29" s="4" t="s">
        <v>116</v>
      </c>
      <c r="F29" s="6">
        <v>-2</v>
      </c>
      <c r="G29" s="4" t="s">
        <v>117</v>
      </c>
      <c r="H29" s="6">
        <v>-2</v>
      </c>
      <c r="I29" s="6" t="s">
        <v>118</v>
      </c>
      <c r="J29" s="6">
        <v>1</v>
      </c>
      <c r="K29" s="6">
        <v>1</v>
      </c>
    </row>
    <row r="30" spans="1:11" ht="140" customHeight="1" x14ac:dyDescent="0.15">
      <c r="A30" s="5">
        <v>24</v>
      </c>
      <c r="B30" s="5" t="s">
        <v>119</v>
      </c>
      <c r="C30" s="5" t="s">
        <v>82</v>
      </c>
      <c r="D30" s="20" t="s">
        <v>143</v>
      </c>
      <c r="E30" s="4" t="s">
        <v>120</v>
      </c>
      <c r="F30" s="6">
        <v>0</v>
      </c>
      <c r="G30" s="4" t="s">
        <v>121</v>
      </c>
      <c r="H30" s="6">
        <v>0</v>
      </c>
      <c r="I30" s="6" t="s">
        <v>18</v>
      </c>
      <c r="J30" s="6">
        <v>1</v>
      </c>
      <c r="K30" s="6">
        <v>1</v>
      </c>
    </row>
    <row r="31" spans="1:11" ht="140" customHeight="1" x14ac:dyDescent="0.15">
      <c r="A31" s="5">
        <v>25</v>
      </c>
      <c r="B31" s="5" t="s">
        <v>122</v>
      </c>
      <c r="C31" s="5" t="s">
        <v>54</v>
      </c>
      <c r="D31" s="20" t="s">
        <v>144</v>
      </c>
      <c r="E31" s="4" t="s">
        <v>123</v>
      </c>
      <c r="F31" s="6">
        <v>18</v>
      </c>
      <c r="G31" s="4" t="s">
        <v>124</v>
      </c>
      <c r="H31" s="6">
        <v>19</v>
      </c>
      <c r="I31" s="6" t="s">
        <v>48</v>
      </c>
      <c r="J31" s="6">
        <v>0</v>
      </c>
      <c r="K31" s="6">
        <v>1</v>
      </c>
    </row>
    <row r="32" spans="1:11" ht="140" customHeight="1" x14ac:dyDescent="0.15">
      <c r="B32" s="5"/>
      <c r="C32" s="5"/>
      <c r="D32" s="5"/>
      <c r="E32" s="4"/>
      <c r="F32" s="6"/>
      <c r="G32" s="4"/>
      <c r="I32" s="6" t="s">
        <v>145</v>
      </c>
      <c r="J32" s="6">
        <f>SUM(J7:J31)</f>
        <v>16</v>
      </c>
      <c r="K32" s="6">
        <f>SUM(K7:K31)</f>
        <v>22</v>
      </c>
    </row>
    <row r="33" spans="1:1024" ht="140" customHeight="1" x14ac:dyDescent="0.15">
      <c r="B33" s="5"/>
      <c r="C33" s="5"/>
      <c r="D33" s="5"/>
      <c r="E33" s="4"/>
      <c r="F33" s="6"/>
      <c r="G33" s="4"/>
    </row>
    <row r="34" spans="1:1024" ht="140" customHeight="1" x14ac:dyDescent="0.15">
      <c r="B34" s="5"/>
      <c r="C34" s="5"/>
      <c r="D34" s="5"/>
      <c r="E34" s="4"/>
      <c r="F34" s="6"/>
      <c r="G34" s="4"/>
    </row>
    <row r="35" spans="1:1024" ht="140" customHeight="1" x14ac:dyDescent="0.15">
      <c r="B35" s="5"/>
      <c r="C35" s="5"/>
      <c r="D35" s="5"/>
      <c r="E35" s="4"/>
      <c r="F35" s="6"/>
      <c r="G35" s="4"/>
    </row>
    <row r="36" spans="1:1024" ht="120" customHeight="1" x14ac:dyDescent="0.15">
      <c r="B36" s="5"/>
      <c r="C36" s="5"/>
      <c r="D36" s="5"/>
    </row>
    <row r="37" spans="1:1024" s="7" customFormat="1" ht="120" customHeight="1" x14ac:dyDescent="0.2">
      <c r="A37" s="24"/>
      <c r="B37" s="24"/>
      <c r="C37" s="2"/>
      <c r="D37" s="22"/>
      <c r="E37" s="23"/>
      <c r="F37" s="23"/>
      <c r="AMJ37" s="8"/>
    </row>
    <row r="38" spans="1:1024" s="7" customFormat="1" ht="120" customHeight="1" x14ac:dyDescent="0.15">
      <c r="A38" s="24"/>
      <c r="B38" s="24"/>
      <c r="C38" s="24"/>
      <c r="D38" s="24"/>
      <c r="E38" s="24"/>
      <c r="F38" s="3"/>
      <c r="AMJ38" s="8"/>
    </row>
  </sheetData>
  <mergeCells count="6">
    <mergeCell ref="A38:E38"/>
    <mergeCell ref="E4:K4"/>
    <mergeCell ref="B1:E1"/>
    <mergeCell ref="B2:E2"/>
    <mergeCell ref="B3:E3"/>
    <mergeCell ref="A37:B37"/>
  </mergeCells>
  <pageMargins left="0.7" right="0.7" top="0.75" bottom="0.75" header="0.511811023622047" footer="0.511811023622047"/>
  <pageSetup paperSize="9"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zoomScaleNormal="100" workbookViewId="0"/>
  </sheetViews>
  <sheetFormatPr baseColWidth="10" defaultColWidth="8.83203125" defaultRowHeight="14" x14ac:dyDescent="0.15"/>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240</TotalTim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Arkusz1</vt:lpstr>
      <vt:lpstr>Arkusz2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Jeremy Clark</dc:creator>
  <dc:description/>
  <cp:lastModifiedBy>Jeremy Clark</cp:lastModifiedBy>
  <cp:revision>15</cp:revision>
  <cp:lastPrinted>2019-01-09T09:49:19Z</cp:lastPrinted>
  <dcterms:created xsi:type="dcterms:W3CDTF">2017-06-01T12:19:31Z</dcterms:created>
  <dcterms:modified xsi:type="dcterms:W3CDTF">2026-06-10T13:25:59Z</dcterms:modified>
  <dc:language>pl-PL</dc:language>
</cp:coreProperties>
</file>